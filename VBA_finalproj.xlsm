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cbub\Documents\"/>
    </mc:Choice>
  </mc:AlternateContent>
  <xr:revisionPtr revIDLastSave="0" documentId="13_ncr:1_{D6988B60-CEA6-4DBE-A4C4-1B28C3345256}" xr6:coauthVersionLast="45" xr6:coauthVersionMax="45" xr10:uidLastSave="{00000000-0000-0000-0000-000000000000}"/>
  <bookViews>
    <workbookView xWindow="-7740" yWindow="2604" windowWidth="18456" windowHeight="8964" activeTab="1" xr2:uid="{57DAC3DF-DAFF-4903-8271-B4F3C415E871}"/>
  </bookViews>
  <sheets>
    <sheet name="Cover sheet" sheetId="1" r:id="rId1"/>
    <sheet name="CalculatingPressureDr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" i="2" l="1"/>
  <c r="K14" i="2" l="1"/>
  <c r="J16" i="2" s="1"/>
  <c r="K16" i="2" s="1"/>
  <c r="L16" i="2" s="1"/>
  <c r="M16" i="2" s="1"/>
  <c r="N16" i="2" s="1"/>
  <c r="O16" i="2" s="1"/>
  <c r="P16" i="2" s="1"/>
  <c r="Q16" i="2" s="1"/>
  <c r="J19" i="2" s="1"/>
  <c r="K19" i="2" s="1"/>
  <c r="L19" i="2" s="1"/>
  <c r="M19" i="2" s="1"/>
  <c r="N19" i="2" s="1"/>
  <c r="O19" i="2" s="1"/>
  <c r="P19" i="2" s="1"/>
  <c r="Q19" i="2" s="1"/>
  <c r="J22" i="2" s="1"/>
  <c r="K22" i="2" s="1"/>
  <c r="L22" i="2" s="1"/>
  <c r="M22" i="2" s="1"/>
  <c r="N22" i="2" s="1"/>
  <c r="O22" i="2" s="1"/>
  <c r="P22" i="2" s="1"/>
  <c r="Q22" i="2" s="1"/>
</calcChain>
</file>

<file path=xl/sharedStrings.xml><?xml version="1.0" encoding="utf-8"?>
<sst xmlns="http://schemas.openxmlformats.org/spreadsheetml/2006/main" count="34" uniqueCount="30">
  <si>
    <t>Katherine Centofanti</t>
  </si>
  <si>
    <t>VBA Project</t>
  </si>
  <si>
    <t>Calculating the pressure drop of a non-newtonian fluid</t>
  </si>
  <si>
    <t>Fluid density</t>
  </si>
  <si>
    <t>Inside pipe diameter</t>
  </si>
  <si>
    <t>Pipe length</t>
  </si>
  <si>
    <t>mm</t>
  </si>
  <si>
    <t>User input information</t>
  </si>
  <si>
    <t>Units</t>
  </si>
  <si>
    <t>m</t>
  </si>
  <si>
    <t>Kg/m^3</t>
  </si>
  <si>
    <t>Fitting Losses (K)</t>
  </si>
  <si>
    <t>Flowrate</t>
  </si>
  <si>
    <t>Kg/h</t>
  </si>
  <si>
    <t>Consistency Coefficient( K)</t>
  </si>
  <si>
    <t>Flow Index (n)</t>
  </si>
  <si>
    <t>Ns^(2-n)/m^2</t>
  </si>
  <si>
    <t>Calculated Velocity</t>
  </si>
  <si>
    <t>Calculated F Value</t>
  </si>
  <si>
    <t>Reynolds Number</t>
  </si>
  <si>
    <t>Calcd Pressure Drop</t>
  </si>
  <si>
    <t>barr</t>
  </si>
  <si>
    <t>m/s</t>
  </si>
  <si>
    <t>Calculated Values</t>
  </si>
  <si>
    <t>Reynold's Number</t>
  </si>
  <si>
    <t>Iteration for friction factor -----&gt;</t>
  </si>
  <si>
    <t>f</t>
  </si>
  <si>
    <t>Iteration</t>
  </si>
  <si>
    <t>This part of the spreadsheet was modified from the Cheguide website</t>
  </si>
  <si>
    <t>NetLength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</si>
</sst>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2" borderId="6" xfId="0" applyFont="1" applyFill="1" applyBorder="1"/>
    <xf numFmtId="0" fontId="0" fillId="2" borderId="8" xfId="0" applyFill="1" applyBorder="1"/>
    <xf numFmtId="1" fontId="0" fillId="0" borderId="0" xfId="0" applyNumberFormat="1"/>
    <xf numFmtId="0" fontId="3" fillId="0" borderId="0" xfId="0" applyFont="1"/>
    <xf numFmtId="164" fontId="0" fillId="0" borderId="0" xfId="0" applyNumberFormat="1"/>
    <xf numFmtId="165" fontId="0" fillId="0" borderId="0" xfId="0" applyNumberFormat="1"/>
    <xf numFmtId="11" fontId="0" fillId="0" borderId="0" xfId="0" applyNumberFormat="1" applyBorder="1"/>
    <xf numFmtId="11" fontId="0" fillId="2" borderId="7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167640</xdr:rowOff>
    </xdr:from>
    <xdr:to>
      <xdr:col>11</xdr:col>
      <xdr:colOff>129540</xdr:colOff>
      <xdr:row>21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19200" y="1447800"/>
          <a:ext cx="5615940" cy="2567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Sources</a:t>
          </a:r>
          <a:r>
            <a:rPr lang="en-US" baseline="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 where I used and modified code driectly from:</a:t>
          </a:r>
        </a:p>
        <a:p>
          <a:r>
            <a:rPr lang="en-US">
              <a:hlinkClick xmlns:r="http://schemas.openxmlformats.org/officeDocument/2006/relationships" r:id=""/>
            </a:rPr>
            <a:t>https://stackoverflow.com/questions/26138833/making-vba-form-textbox-accept-numbers-only-including-and</a:t>
          </a:r>
          <a:endParaRPr lang="en-US">
            <a:solidFill>
              <a:sysClr val="windowText" lastClr="000000"/>
            </a:solidFill>
            <a:hlinkClick xmlns:r="http://schemas.openxmlformats.org/officeDocument/2006/relationships" r:id="">
              <a:extLst>
                <a:ext uri="{A12FA001-AC4F-418D-AE19-62706E023703}">
                  <ahyp:hlinkClr xmlns:ahyp="http://schemas.microsoft.com/office/drawing/2018/hyperlinkcolor" val="tx"/>
                </a:ext>
              </a:extLst>
            </a:hlinkClick>
          </a:endParaRPr>
        </a:p>
        <a:p>
          <a:r>
            <a:rPr lang="en-US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Sources</a:t>
          </a:r>
          <a:r>
            <a:rPr lang="en-US" baseline="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 Referenced:</a:t>
          </a:r>
        </a:p>
        <a:p>
          <a:r>
            <a:rPr lang="en-US">
              <a:solidFill>
                <a:srgbClr val="0563C1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-https://cheguide.com/power_law_fluid.html</a:t>
          </a:r>
          <a:r>
            <a:rPr lang="en-US">
              <a:solidFill>
                <a:srgbClr val="0563C1"/>
              </a:solidFill>
            </a:rPr>
            <a:t>  </a:t>
          </a:r>
        </a:p>
        <a:p>
          <a:r>
            <a:rPr lang="en-US">
              <a:solidFill>
                <a:srgbClr val="0563C1"/>
              </a:solidFill>
            </a:rPr>
            <a:t>-</a:t>
          </a:r>
          <a:r>
            <a:rPr lang="en-US">
              <a:hlinkClick xmlns:r="http://schemas.openxmlformats.org/officeDocument/2006/relationships" r:id=""/>
            </a:rPr>
            <a:t>https://www.excel-easy.com/vba/userform.html</a:t>
          </a:r>
          <a:r>
            <a:rPr lang="en-US"/>
            <a:t> </a:t>
          </a:r>
        </a:p>
        <a:p>
          <a:r>
            <a:rPr lang="en-US" sz="1100"/>
            <a:t>-</a:t>
          </a:r>
          <a:r>
            <a:rPr lang="en-US">
              <a:hlinkClick xmlns:r="http://schemas.openxmlformats.org/officeDocument/2006/relationships" r:id=""/>
            </a:rPr>
            <a:t>https://docs.microsoft.com/en-us/office/vba/language/reference/user-interface-help/printstatement</a:t>
          </a:r>
          <a:r>
            <a:rPr lang="en-US"/>
            <a:t> </a:t>
          </a:r>
        </a:p>
        <a:p>
          <a:r>
            <a:rPr lang="en-US" sz="1100">
              <a:hlinkClick xmlns:r="http://schemas.openxmlformats.org/officeDocument/2006/relationships" r:id=""/>
            </a:rPr>
            <a:t>-</a:t>
          </a:r>
          <a:r>
            <a:rPr lang="en-US">
              <a:hlinkClick xmlns:r="http://schemas.openxmlformats.org/officeDocument/2006/relationships" r:id=""/>
            </a:rPr>
            <a:t>http://www.csun.edu/~lcaretto/me309/cPlusPlus.pdf</a:t>
          </a:r>
          <a:r>
            <a:rPr lang="en-US"/>
            <a:t> </a:t>
          </a:r>
        </a:p>
        <a:p>
          <a:r>
            <a:rPr lang="en-US" sz="1100"/>
            <a:t>-</a:t>
          </a:r>
          <a:r>
            <a:rPr lang="en-US">
              <a:hlinkClick xmlns:r="http://schemas.openxmlformats.org/officeDocument/2006/relationships" r:id=""/>
            </a:rPr>
            <a:t>https://docs.microsoft.com/en-us/dotnet/visual-basic/language-reference/statements/if-then-else-statement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2</xdr:row>
          <xdr:rowOff>137160</xdr:rowOff>
        </xdr:from>
        <xdr:to>
          <xdr:col>10</xdr:col>
          <xdr:colOff>320040</xdr:colOff>
          <xdr:row>8</xdr:row>
          <xdr:rowOff>106680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426720</xdr:colOff>
      <xdr:row>0</xdr:row>
      <xdr:rowOff>30480</xdr:rowOff>
    </xdr:from>
    <xdr:to>
      <xdr:col>12</xdr:col>
      <xdr:colOff>121920</xdr:colOff>
      <xdr:row>2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890260" y="30480"/>
          <a:ext cx="2743200" cy="449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Calculate the Pressure Drop of a Non-Newtonian</a:t>
          </a:r>
          <a:r>
            <a:rPr lang="en-US" sz="1100" baseline="0"/>
            <a:t> Fluid by clicking below: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EC471-C818-4C92-B1F8-C3CE23F4BF5A}">
  <sheetPr codeName="Sheet1"/>
  <dimension ref="C5:C7"/>
  <sheetViews>
    <sheetView workbookViewId="0">
      <selection activeCell="D27" sqref="D27"/>
    </sheetView>
  </sheetViews>
  <sheetFormatPr defaultRowHeight="14.4" x14ac:dyDescent="0.3"/>
  <sheetData>
    <row r="5" spans="3:3" x14ac:dyDescent="0.3">
      <c r="C5" t="s">
        <v>0</v>
      </c>
    </row>
    <row r="6" spans="3:3" x14ac:dyDescent="0.3">
      <c r="C6" t="s">
        <v>1</v>
      </c>
    </row>
    <row r="7" spans="3:3" x14ac:dyDescent="0.3">
      <c r="C7" t="s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9EE82-7029-456F-A138-C8A99F408E25}">
  <sheetPr codeName="Sheet2"/>
  <dimension ref="D10:Q26"/>
  <sheetViews>
    <sheetView tabSelected="1" topLeftCell="A6" zoomScaleNormal="100" workbookViewId="0">
      <selection activeCell="E26" sqref="E26"/>
    </sheetView>
  </sheetViews>
  <sheetFormatPr defaultRowHeight="14.4" x14ac:dyDescent="0.3"/>
  <cols>
    <col min="4" max="4" width="23" bestFit="1" customWidth="1"/>
    <col min="6" max="6" width="12.21875" bestFit="1" customWidth="1"/>
  </cols>
  <sheetData>
    <row r="10" spans="4:17" ht="15" thickBot="1" x14ac:dyDescent="0.35"/>
    <row r="11" spans="4:17" x14ac:dyDescent="0.3">
      <c r="D11" s="1" t="s">
        <v>7</v>
      </c>
      <c r="E11" s="2"/>
      <c r="F11" s="3" t="s">
        <v>8</v>
      </c>
    </row>
    <row r="12" spans="4:17" x14ac:dyDescent="0.3">
      <c r="D12" s="4"/>
      <c r="E12" s="5"/>
      <c r="F12" s="6"/>
      <c r="I12" t="s">
        <v>28</v>
      </c>
    </row>
    <row r="13" spans="4:17" x14ac:dyDescent="0.3">
      <c r="D13" s="4" t="s">
        <v>5</v>
      </c>
      <c r="E13" s="5">
        <v>10</v>
      </c>
      <c r="F13" s="6" t="s">
        <v>9</v>
      </c>
      <c r="I13" t="s">
        <v>24</v>
      </c>
      <c r="K13" s="12">
        <f>E25</f>
        <v>410.713698468399</v>
      </c>
      <c r="N13" s="13" t="s">
        <v>25</v>
      </c>
    </row>
    <row r="14" spans="4:17" x14ac:dyDescent="0.3">
      <c r="D14" s="4" t="s">
        <v>4</v>
      </c>
      <c r="E14" s="5">
        <v>80</v>
      </c>
      <c r="F14" s="6" t="s">
        <v>6</v>
      </c>
      <c r="I14" t="s">
        <v>26</v>
      </c>
      <c r="K14" s="14">
        <f>16/K13</f>
        <v>3.8956577439870965E-2</v>
      </c>
      <c r="N14" s="13"/>
    </row>
    <row r="15" spans="4:17" x14ac:dyDescent="0.3">
      <c r="D15" s="4" t="s">
        <v>11</v>
      </c>
      <c r="E15" s="5">
        <v>1.8</v>
      </c>
      <c r="F15" s="6"/>
      <c r="I15" t="s">
        <v>27</v>
      </c>
      <c r="J15">
        <v>1</v>
      </c>
      <c r="K15">
        <v>2</v>
      </c>
      <c r="L15">
        <v>3</v>
      </c>
      <c r="M15">
        <v>4</v>
      </c>
      <c r="N15">
        <v>5</v>
      </c>
      <c r="O15">
        <v>6</v>
      </c>
      <c r="P15">
        <v>7</v>
      </c>
      <c r="Q15">
        <v>8</v>
      </c>
    </row>
    <row r="16" spans="4:17" x14ac:dyDescent="0.3">
      <c r="D16" s="4" t="s">
        <v>3</v>
      </c>
      <c r="E16" s="5">
        <v>960</v>
      </c>
      <c r="F16" s="6" t="s">
        <v>10</v>
      </c>
      <c r="I16" t="s">
        <v>26</v>
      </c>
      <c r="J16" s="14">
        <f>K14</f>
        <v>3.8956577439870965E-2</v>
      </c>
      <c r="K16" s="15">
        <f>1/((4*LOG10($K$13*(J16^(1-$E$19/2)))/$E$19^0.75 - 0.4/$E$19^1.2           )^2)</f>
        <v>1.3618414900428094E-2</v>
      </c>
      <c r="L16" s="15">
        <f t="shared" ref="L16:Q16" si="0">1/((4*LOG10($K$13*(K16^(1-$E$19/2)))/$E$19^0.75 - 0.4/$E$19^1.2           )^2)</f>
        <v>2.1411625896174999E-2</v>
      </c>
      <c r="M16" s="15">
        <f t="shared" si="0"/>
        <v>1.7399683226829304E-2</v>
      </c>
      <c r="N16" s="15">
        <f t="shared" si="0"/>
        <v>1.9085367264887732E-2</v>
      </c>
      <c r="O16" s="15">
        <f t="shared" si="0"/>
        <v>1.8305128754708692E-2</v>
      </c>
      <c r="P16" s="15">
        <f t="shared" si="0"/>
        <v>1.8651285955251975E-2</v>
      </c>
      <c r="Q16" s="15">
        <f t="shared" si="0"/>
        <v>1.8494721610692197E-2</v>
      </c>
    </row>
    <row r="17" spans="4:17" x14ac:dyDescent="0.3">
      <c r="D17" s="4" t="s">
        <v>12</v>
      </c>
      <c r="E17" s="5">
        <v>25000</v>
      </c>
      <c r="F17" s="6" t="s">
        <v>13</v>
      </c>
    </row>
    <row r="18" spans="4:17" x14ac:dyDescent="0.3">
      <c r="D18" s="4" t="s">
        <v>14</v>
      </c>
      <c r="E18" s="5">
        <v>1.48</v>
      </c>
      <c r="F18" s="6" t="s">
        <v>16</v>
      </c>
      <c r="I18" t="s">
        <v>27</v>
      </c>
      <c r="J18">
        <v>9</v>
      </c>
      <c r="K18">
        <v>10</v>
      </c>
      <c r="L18">
        <v>11</v>
      </c>
      <c r="M18">
        <v>12</v>
      </c>
      <c r="N18">
        <v>13</v>
      </c>
      <c r="O18">
        <v>14</v>
      </c>
      <c r="P18">
        <v>15</v>
      </c>
      <c r="Q18">
        <v>16</v>
      </c>
    </row>
    <row r="19" spans="4:17" ht="15" thickBot="1" x14ac:dyDescent="0.35">
      <c r="D19" s="7" t="s">
        <v>15</v>
      </c>
      <c r="E19" s="8">
        <v>0.64</v>
      </c>
      <c r="F19" s="9"/>
      <c r="J19" s="15">
        <f>1/((4*LOG10($K$13*(Q16^(1-$E$19/2)))/$E$19^0.75 - 0.4/$E$19^1.2           )^2)</f>
        <v>1.8564926521023838E-2</v>
      </c>
      <c r="K19" s="15">
        <f>1/((4*LOG10($K$13*(J19^(1-$E$19/2)))/$E$19^0.75 - 0.4/$E$19^1.2           )^2)</f>
        <v>1.8533323406372308E-2</v>
      </c>
      <c r="L19" s="15">
        <f t="shared" ref="L19:Q19" si="1">1/((4*LOG10($K$13*(K19^(1-$E$19/2)))/$E$19^0.75 - 0.4/$E$19^1.2           )^2)</f>
        <v>1.8547524907532514E-2</v>
      </c>
      <c r="M19" s="15">
        <f t="shared" si="1"/>
        <v>1.8541138162096217E-2</v>
      </c>
      <c r="N19" s="15">
        <f t="shared" si="1"/>
        <v>1.8544009416540573E-2</v>
      </c>
      <c r="O19" s="15">
        <f t="shared" si="1"/>
        <v>1.8542718397410965E-2</v>
      </c>
      <c r="P19" s="15">
        <f t="shared" si="1"/>
        <v>1.8543298844566281E-2</v>
      </c>
      <c r="Q19" s="15">
        <f t="shared" si="1"/>
        <v>1.8543037864925265E-2</v>
      </c>
    </row>
    <row r="20" spans="4:17" ht="15" thickBot="1" x14ac:dyDescent="0.35"/>
    <row r="21" spans="4:17" x14ac:dyDescent="0.3">
      <c r="D21" s="1" t="s">
        <v>23</v>
      </c>
      <c r="E21" s="2"/>
      <c r="F21" s="3" t="s">
        <v>8</v>
      </c>
      <c r="I21" t="s">
        <v>27</v>
      </c>
      <c r="J21">
        <v>17</v>
      </c>
      <c r="K21">
        <v>18</v>
      </c>
      <c r="L21">
        <v>19</v>
      </c>
      <c r="M21">
        <v>20</v>
      </c>
      <c r="N21">
        <v>21</v>
      </c>
      <c r="O21">
        <v>22</v>
      </c>
      <c r="P21">
        <v>23</v>
      </c>
      <c r="Q21">
        <v>24</v>
      </c>
    </row>
    <row r="22" spans="4:17" x14ac:dyDescent="0.3">
      <c r="D22" s="4" t="s">
        <v>17</v>
      </c>
      <c r="E22" s="5">
        <v>1.4391180473442504</v>
      </c>
      <c r="F22" s="6" t="s">
        <v>22</v>
      </c>
      <c r="J22" s="15">
        <f>1/((4*LOG10($K$13*(Q19^(1-$E$19/2)))/$E$19^0.75 - 0.4/$E$19^1.2           )^2)</f>
        <v>1.854315520444531E-2</v>
      </c>
      <c r="K22" s="15">
        <f>1/((4*LOG10($K$13*(J22^(1-$E$19/2)))/$E$19^0.75 - 0.4/$E$19^1.2           )^2)</f>
        <v>1.8543102446873096E-2</v>
      </c>
      <c r="L22" s="15">
        <f t="shared" ref="L22:Q22" si="2">1/((4*LOG10($K$13*(K22^(1-$E$19/2)))/$E$19^0.75 - 0.4/$E$19^1.2           )^2)</f>
        <v>1.8543126167383534E-2</v>
      </c>
      <c r="M22" s="15">
        <f t="shared" si="2"/>
        <v>1.854311550231065E-2</v>
      </c>
      <c r="N22" s="15">
        <f t="shared" si="2"/>
        <v>1.8543120297473591E-2</v>
      </c>
      <c r="O22" s="15">
        <f t="shared" si="2"/>
        <v>1.854311814150204E-2</v>
      </c>
      <c r="P22" s="15">
        <f t="shared" si="2"/>
        <v>1.8543119110856536E-2</v>
      </c>
      <c r="Q22" s="15">
        <f t="shared" si="2"/>
        <v>1.8543118675021376E-2</v>
      </c>
    </row>
    <row r="23" spans="4:17" x14ac:dyDescent="0.3">
      <c r="D23" s="4" t="s">
        <v>29</v>
      </c>
      <c r="E23" s="5">
        <v>10.924105821553898</v>
      </c>
      <c r="F23" s="6"/>
    </row>
    <row r="24" spans="4:17" x14ac:dyDescent="0.3">
      <c r="D24" s="4" t="s">
        <v>18</v>
      </c>
      <c r="E24" s="5">
        <v>3.8956577439870965E-2</v>
      </c>
      <c r="F24" s="6"/>
      <c r="L24" s="15"/>
    </row>
    <row r="25" spans="4:17" x14ac:dyDescent="0.3">
      <c r="D25" s="4" t="s">
        <v>19</v>
      </c>
      <c r="E25" s="16">
        <v>410.713698468399</v>
      </c>
      <c r="F25" s="6"/>
    </row>
    <row r="26" spans="4:17" ht="15" thickBot="1" x14ac:dyDescent="0.35">
      <c r="D26" s="10" t="s">
        <v>20</v>
      </c>
      <c r="E26" s="17">
        <v>0.21152941768427125</v>
      </c>
      <c r="F26" s="11" t="s">
        <v>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8</xdr:col>
                <xdr:colOff>220980</xdr:colOff>
                <xdr:row>2</xdr:row>
                <xdr:rowOff>137160</xdr:rowOff>
              </from>
              <to>
                <xdr:col>10</xdr:col>
                <xdr:colOff>320040</xdr:colOff>
                <xdr:row>8</xdr:row>
                <xdr:rowOff>106680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Cover sheet</vt:lpstr>
      <vt:lpstr>CalculatingPressureDrop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Katie Centofanti</dc:creator>
  <cp:lastModifiedBy>Katie Centofanti</cp:lastModifiedBy>
  <dcterms:created xsi:type="dcterms:W3CDTF">2020-04-10T21:20:29Z</dcterms:created>
  <dcterms:modified xsi:type="dcterms:W3CDTF">2020-04-17T21:54:52Z</dcterms:modified>
</cp:coreProperties>
</file>